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gurba\Downloads\"/>
    </mc:Choice>
  </mc:AlternateContent>
  <xr:revisionPtr revIDLastSave="0" documentId="8_{4A5CB595-2591-469A-8587-DFFC78E0646E}" xr6:coauthVersionLast="47" xr6:coauthVersionMax="47" xr10:uidLastSave="{00000000-0000-0000-0000-000000000000}"/>
  <bookViews>
    <workbookView xWindow="-108" yWindow="-108" windowWidth="23256" windowHeight="12456" xr2:uid="{2BEB2501-9D1A-4325-9F87-C91F382570F9}"/>
  </bookViews>
  <sheets>
    <sheet name="Sheet1" sheetId="1" r:id="rId1"/>
  </sheets>
  <definedNames>
    <definedName name="cost">Sheet1!$B$34</definedName>
    <definedName name="demand">Sheet1!$B$28</definedName>
    <definedName name="leftover_price">Sheet1!$B$22</definedName>
    <definedName name="lookupcost">Sheet1!$D$21:$E$25</definedName>
    <definedName name="order_quantity" localSheetId="0">Sheet1!$B$25</definedName>
    <definedName name="Probabilities">Sheet1!$B$51:$J$51</definedName>
    <definedName name="probality">Sheet1!$B$39:$J$47</definedName>
    <definedName name="profit">Sheet1!$B$35</definedName>
    <definedName name="regular_price">Sheet1!$B$21</definedName>
    <definedName name="revenue">Sheet1!$B$33</definedName>
    <definedName name="unit_sold_at_a_leftover_price">Sheet1!$B$32</definedName>
    <definedName name="unit_sold_at_a_regular_price">Sheet1!$B$31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2" i="1" l="1"/>
  <c r="B61" i="1"/>
  <c r="B60" i="1"/>
  <c r="B59" i="1"/>
  <c r="B58" i="1"/>
  <c r="B57" i="1"/>
  <c r="B56" i="1"/>
  <c r="B55" i="1" a="1"/>
  <c r="B55" i="1" s="1"/>
  <c r="B54" i="1" a="1"/>
  <c r="B54" i="1" s="1"/>
  <c r="B34" i="1"/>
  <c r="B32" i="1"/>
  <c r="B31" i="1"/>
  <c r="B33" i="1" l="1"/>
  <c r="B35" i="1" s="1"/>
  <c r="A38"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<sst xmlns="http://schemas.openxmlformats.org/spreadsheetml/2006/main" count="25" uniqueCount="25">
  <si>
    <t xml:space="preserve">inputs </t>
  </si>
  <si>
    <t xml:space="preserve">regular price </t>
  </si>
  <si>
    <t xml:space="preserve">leftover price </t>
  </si>
  <si>
    <t xml:space="preserve">decision variable </t>
  </si>
  <si>
    <t xml:space="preserve">order quantity </t>
  </si>
  <si>
    <t xml:space="preserve">uncertain quantity </t>
  </si>
  <si>
    <t xml:space="preserve">demand </t>
  </si>
  <si>
    <t xml:space="preserve">profit model </t>
  </si>
  <si>
    <t xml:space="preserve">unit sold at a regular price </t>
  </si>
  <si>
    <t xml:space="preserve">unit sold at a leftover price </t>
  </si>
  <si>
    <t xml:space="preserve">revenue </t>
  </si>
  <si>
    <t xml:space="preserve">cost </t>
  </si>
  <si>
    <t xml:space="preserve">profit </t>
  </si>
  <si>
    <t xml:space="preserve">unit cost - above in question </t>
  </si>
  <si>
    <t>Quantity</t>
  </si>
  <si>
    <t xml:space="preserve">At least </t>
  </si>
  <si>
    <t xml:space="preserve">discount structure </t>
  </si>
  <si>
    <t xml:space="preserve">unit cost </t>
  </si>
  <si>
    <t xml:space="preserve">Model of expected demands </t>
  </si>
  <si>
    <t xml:space="preserve">Demands </t>
  </si>
  <si>
    <t xml:space="preserve">Probabilities </t>
  </si>
  <si>
    <t xml:space="preserve">Order Quantities </t>
  </si>
  <si>
    <t xml:space="preserve">Expected profit </t>
  </si>
  <si>
    <r>
      <rPr>
        <b/>
        <sz val="11"/>
        <color theme="1"/>
        <rFont val="Calibri"/>
        <family val="2"/>
        <scheme val="minor"/>
      </rPr>
      <t>Ordering decision with quantity discounts</t>
    </r>
    <r>
      <rPr>
        <sz val="11"/>
        <color theme="1"/>
        <rFont val="Calibri"/>
        <family val="2"/>
        <scheme val="minor"/>
      </rPr>
      <t xml:space="preserve"> </t>
    </r>
  </si>
  <si>
    <t xml:space="preserve">Data table profit as a function of order quantity and demand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</si>
</sst>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3" x14ac:knownFonts="1">
    <font>
      <sz val="11"/>
      <color theme="1"/>
      <name val="Calibri"/>
      <family val="2"/>
      <scheme val="minor"/>
    </font>
    <font>
      <b/>
      <sz val="11"/>
      <color theme="1"/>
      <name val="Calibri"/>
      <family val="2"/>
      <scheme val="minor"/>
    </font>
    <font>
      <sz val="11"/>
      <color theme="1" tint="4.9989318521683403E-2"/>
      <name val="Calibri"/>
      <family val="2"/>
      <scheme val="minor"/>
    </font>
  </fonts>
  <fills count="6">
    <fill>
      <patternFill patternType="none"/>
    </fill>
    <fill>
      <patternFill patternType="gray125"/>
    </fill>
    <fill>
      <patternFill patternType="solid">
        <fgColor theme="3" tint="0.39997558519241921"/>
        <bgColor indexed="64"/>
      </patternFill>
    </fill>
    <fill>
      <patternFill patternType="solid">
        <fgColor rgb="FF92D050"/>
        <bgColor indexed="64"/>
      </patternFill>
    </fill>
    <fill>
      <patternFill patternType="solid">
        <fgColor theme="5"/>
        <bgColor indexed="64"/>
      </patternFill>
    </fill>
    <fill>
      <patternFill patternType="solid">
        <fgColor theme="0" tint="-0.499984740745262"/>
        <bgColor indexed="64"/>
      </patternFill>
    </fill>
  </fills>
  <borders count="1">
    <border>
      <left/>
      <right/>
      <top/>
      <bottom/>
      <diagonal/>
    </border>
  </borders>
  <cellStyleXfs count="1">
    <xf numFmtId="0" fontId="0" fillId="0" borderId="0"/>
  </cellStyleXfs>
  <cellXfs count="9">
    <xf numFmtId="0" fontId="0" fillId="0" borderId="0" xfId="0"/>
    <xf numFmtId="6" fontId="0" fillId="0" borderId="0" xfId="0" applyNumberFormat="1"/>
    <xf numFmtId="0" fontId="1" fillId="0" borderId="0" xfId="0" applyFont="1"/>
    <xf numFmtId="0" fontId="0" fillId="2" borderId="0" xfId="0" applyFill="1"/>
    <xf numFmtId="6" fontId="0" fillId="2" borderId="0" xfId="0" applyNumberFormat="1" applyFill="1"/>
    <xf numFmtId="8" fontId="0" fillId="2" borderId="0" xfId="0" applyNumberFormat="1" applyFill="1"/>
    <xf numFmtId="0" fontId="0" fillId="3" borderId="0" xfId="0" applyFill="1"/>
    <xf numFmtId="0" fontId="2" fillId="4" borderId="0" xfId="0" applyFont="1" applyFill="1"/>
    <xf numFmtId="0" fontId="0" fillId="5" borderId="0" xfId="0" applyFill="1"/>
  </cellXfs>
  <cellStyles count="1">
    <cellStyle name="Normal" xfId="0" builtinId="0"/>
  </cellStyles>
  <dxfs count="0"/>
  <tableStyles count="0" defaultTableStyle="TableStyleMedium2" defaultPivotStyle="PivotStyleLight16"/>
  <colors>
    <mruColors>
      <color rgb="FFCC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Expected profit versus order quantity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Sheet1!$B$53</c:f>
              <c:strCache>
                <c:ptCount val="1"/>
                <c:pt idx="0">
                  <c:v>Expected profit </c:v>
                </c:pt>
              </c:strCache>
            </c:strRef>
          </c:tx>
          <c:spPr>
            <a:solidFill>
              <a:schemeClr val="accent1"/>
            </a:solidFill>
            <a:ln>
              <a:noFill/>
            </a:ln>
            <a:effectLst/>
          </c:spPr>
          <c:invertIfNegative val="0"/>
          <c:val>
            <c:numRef>
              <c:f>Sheet1!$B$54:$B$62</c:f>
              <c:numCache>
                <c:formatCode>General</c:formatCode>
                <c:ptCount val="9"/>
                <c:pt idx="0">
                  <c:v>3000</c:v>
                </c:pt>
                <c:pt idx="1">
                  <c:v>6750</c:v>
                </c:pt>
                <c:pt idx="2">
                  <c:v>9500</c:v>
                </c:pt>
                <c:pt idx="3">
                  <c:v>12250</c:v>
                </c:pt>
                <c:pt idx="4">
                  <c:v>11375</c:v>
                </c:pt>
                <c:pt idx="5">
                  <c:v>9500</c:v>
                </c:pt>
                <c:pt idx="6">
                  <c:v>4875</c:v>
                </c:pt>
                <c:pt idx="7">
                  <c:v>1350.0000000000002</c:v>
                </c:pt>
                <c:pt idx="8">
                  <c:v>-4150</c:v>
                </c:pt>
              </c:numCache>
            </c:numRef>
          </c:val>
          <c:extLst>
            <c:ext xmlns:c16="http://schemas.microsoft.com/office/drawing/2014/chart" uri="{C3380CC4-5D6E-409C-BE32-E72D297353CC}">
              <c16:uniqueId val="{00000000-C2D1-48B2-B9A4-5658612058AE}"/>
            </c:ext>
          </c:extLst>
        </c:ser>
        <c:dLbls>
          <c:showLegendKey val="0"/>
          <c:showVal val="0"/>
          <c:showCatName val="0"/>
          <c:showSerName val="0"/>
          <c:showPercent val="0"/>
          <c:showBubbleSize val="0"/>
        </c:dLbls>
        <c:gapWidth val="219"/>
        <c:overlap val="-27"/>
        <c:axId val="1196805648"/>
        <c:axId val="1071697648"/>
      </c:barChart>
      <c:catAx>
        <c:axId val="1196805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a:t>
                </a:r>
                <a:r>
                  <a:rPr lang="en-US" baseline="0"/>
                  <a:t> Quantity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697648"/>
        <c:crosses val="autoZero"/>
        <c:auto val="1"/>
        <c:lblAlgn val="ctr"/>
        <c:lblOffset val="100"/>
        <c:noMultiLvlLbl val="0"/>
      </c:catAx>
      <c:valAx>
        <c:axId val="1071697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Expected</a:t>
                </a:r>
                <a:r>
                  <a:rPr lang="en-US" baseline="0"/>
                  <a:t> profit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805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807720</xdr:colOff>
      <xdr:row>53</xdr:row>
      <xdr:rowOff>15240</xdr:rowOff>
    </xdr:from>
    <xdr:to>
      <xdr:col>6</xdr:col>
      <xdr:colOff>1173480</xdr:colOff>
      <xdr:row>65</xdr:row>
      <xdr:rowOff>118110</xdr:rowOff>
    </xdr:to>
    <xdr:graphicFrame macro="">
      <xdr:nvGraphicFramePr>
        <xdr:cNvPr id="2" name="Chart 1">
          <a:extLst>
            <a:ext uri="{FF2B5EF4-FFF2-40B4-BE49-F238E27FC236}">
              <a16:creationId xmlns:a16="http://schemas.microsoft.com/office/drawing/2014/main" id="{13AF5D64-CBE5-DA52-BE7C-675A0D91C1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0</xdr:row>
      <xdr:rowOff>68580</xdr:rowOff>
    </xdr:from>
    <xdr:to>
      <xdr:col>7</xdr:col>
      <xdr:colOff>762000</xdr:colOff>
      <xdr:row>8</xdr:row>
      <xdr:rowOff>144780</xdr:rowOff>
    </xdr:to>
    <xdr:sp macro="" textlink="">
      <xdr:nvSpPr>
        <xdr:cNvPr id="3" name="TextBox 2">
          <a:extLst>
            <a:ext uri="{FF2B5EF4-FFF2-40B4-BE49-F238E27FC236}">
              <a16:creationId xmlns:a16="http://schemas.microsoft.com/office/drawing/2014/main" id="{DF4ACBC6-11A5-BCFB-2978-63FC64719131}"/>
            </a:ext>
          </a:extLst>
        </xdr:cNvPr>
        <xdr:cNvSpPr txBox="1"/>
      </xdr:nvSpPr>
      <xdr:spPr>
        <a:xfrm>
          <a:off x="38100" y="68580"/>
          <a:ext cx="10538460" cy="153924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ORDERING WITH QUANTITY DISCOUNTS AT SAM’S BOOKSTORE</a:t>
          </a:r>
        </a:p>
        <a:p>
          <a:r>
            <a:rPr lang="en-US" sz="1100"/>
            <a:t>Sam’s Bookstore, with many locations across the United States, places orders for all of the latest books and then distributes them to its individual bookstores. Sam’s needs a model to help it order the appropriate number of any title. For example, Sam’s plans to order a popular new hardback novel, which it will sell for $30. It can purchase any number of this book from the publisher, but due to quantity discounts, the unit cost for all books it orders depends on the number ordered. If the number ordered is less than 1000, the unit cost is $24. After each 1000, the unit cost drops: to $23 for at least 1000 copies; to $22.25 for at least 2000; to $21.75 for at least 3000; and to $21.30 (the lowest possible unit cost) for at least 4000. For example, if Sam’s orders 2500 books, its total cost is $22.25(2500) = $55,625. </a:t>
          </a:r>
          <a:r>
            <a:rPr lang="en-US" sz="1100">
              <a:solidFill>
                <a:srgbClr val="C00000"/>
              </a:solidFill>
            </a:rPr>
            <a:t>Sam’s is uncertain about the demand for this book</a:t>
          </a:r>
          <a:r>
            <a:rPr lang="en-US" sz="1100"/>
            <a:t>—it estimates that demand could be anywhere from 500 to 4500. Also, as with most hardback novels, this one will eventually come out in paperback. Therefore, if Sam’s has any hardbacks left when the paperback comes out, it will put them on sale for $10, at which price it believes all leftovers will be sold. How many copies of this hardback novel should Sam’s order from the publisher?</a:t>
          </a:r>
        </a:p>
      </xdr:txBody>
    </xdr:sp>
    <xdr:clientData/>
  </xdr:twoCellAnchor>
  <xdr:twoCellAnchor>
    <xdr:from>
      <xdr:col>0</xdr:col>
      <xdr:colOff>38100</xdr:colOff>
      <xdr:row>9</xdr:row>
      <xdr:rowOff>129540</xdr:rowOff>
    </xdr:from>
    <xdr:to>
      <xdr:col>7</xdr:col>
      <xdr:colOff>403860</xdr:colOff>
      <xdr:row>13</xdr:row>
      <xdr:rowOff>175260</xdr:rowOff>
    </xdr:to>
    <xdr:sp macro="" textlink="">
      <xdr:nvSpPr>
        <xdr:cNvPr id="4" name="TextBox 3">
          <a:extLst>
            <a:ext uri="{FF2B5EF4-FFF2-40B4-BE49-F238E27FC236}">
              <a16:creationId xmlns:a16="http://schemas.microsoft.com/office/drawing/2014/main" id="{EB9E1249-C804-9FF8-A8B5-513CA1BA8A66}"/>
            </a:ext>
          </a:extLst>
        </xdr:cNvPr>
        <xdr:cNvSpPr txBox="1"/>
      </xdr:nvSpPr>
      <xdr:spPr>
        <a:xfrm>
          <a:off x="38100" y="1775460"/>
          <a:ext cx="10180320" cy="777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Answer - caculated revenue , cost</a:t>
          </a:r>
          <a:r>
            <a:rPr lang="en-US" sz="1100" baseline="0"/>
            <a:t> , profit, demand and used few model </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7DD6F-0FA6-4310-BAA5-60236DBF0CE0}">
  <dimension ref="A17:J62"/>
  <sheetViews>
    <sheetView tabSelected="1" workbookViewId="0">
      <selection activeCell="A16" sqref="A16"/>
    </sheetView>
  </sheetViews>
  <sheetFormatPr defaultColWidth="24.21875" defaultRowHeight="14.4" x14ac:dyDescent="0.3"/>
  <cols>
    <col min="3" max="3" width="9.109375" customWidth="1"/>
    <col min="4" max="4" width="12.88671875" customWidth="1"/>
  </cols>
  <sheetData>
    <row r="17" spans="1:5" x14ac:dyDescent="0.3">
      <c r="A17" t="s">
        <v>23</v>
      </c>
    </row>
    <row r="19" spans="1:5" x14ac:dyDescent="0.3">
      <c r="A19" s="2" t="s">
        <v>0</v>
      </c>
      <c r="D19" s="2" t="s">
        <v>14</v>
      </c>
      <c r="E19" s="2" t="s">
        <v>16</v>
      </c>
    </row>
    <row r="20" spans="1:5" x14ac:dyDescent="0.3">
      <c r="A20" t="s">
        <v>13</v>
      </c>
      <c r="D20" s="2" t="s">
        <v>15</v>
      </c>
      <c r="E20" s="2" t="s">
        <v>17</v>
      </c>
    </row>
    <row r="21" spans="1:5" x14ac:dyDescent="0.3">
      <c r="A21" t="s">
        <v>1</v>
      </c>
      <c r="B21" s="4">
        <v>30</v>
      </c>
      <c r="D21" s="3">
        <v>0</v>
      </c>
      <c r="E21" s="4">
        <v>24</v>
      </c>
    </row>
    <row r="22" spans="1:5" x14ac:dyDescent="0.3">
      <c r="A22" t="s">
        <v>2</v>
      </c>
      <c r="B22" s="4">
        <v>10</v>
      </c>
      <c r="D22" s="3">
        <v>1000</v>
      </c>
      <c r="E22" s="4">
        <v>23</v>
      </c>
    </row>
    <row r="23" spans="1:5" x14ac:dyDescent="0.3">
      <c r="D23" s="3">
        <v>2000</v>
      </c>
      <c r="E23" s="5">
        <v>22.25</v>
      </c>
    </row>
    <row r="24" spans="1:5" x14ac:dyDescent="0.3">
      <c r="A24" s="2" t="s">
        <v>3</v>
      </c>
      <c r="D24" s="3">
        <v>3000</v>
      </c>
      <c r="E24" s="5">
        <v>21.75</v>
      </c>
    </row>
    <row r="25" spans="1:5" x14ac:dyDescent="0.3">
      <c r="A25" t="s">
        <v>4</v>
      </c>
      <c r="B25" s="7">
        <v>2500</v>
      </c>
      <c r="D25" s="3">
        <v>4000</v>
      </c>
      <c r="E25" s="5">
        <v>21.3</v>
      </c>
    </row>
    <row r="27" spans="1:5" x14ac:dyDescent="0.3">
      <c r="A27" s="2" t="s">
        <v>5</v>
      </c>
    </row>
    <row r="28" spans="1:5" x14ac:dyDescent="0.3">
      <c r="A28" t="s">
        <v>6</v>
      </c>
      <c r="B28" s="6">
        <v>2000</v>
      </c>
    </row>
    <row r="30" spans="1:5" x14ac:dyDescent="0.3">
      <c r="A30" s="2" t="s">
        <v>7</v>
      </c>
    </row>
    <row r="31" spans="1:5" x14ac:dyDescent="0.3">
      <c r="A31" t="s">
        <v>8</v>
      </c>
      <c r="B31">
        <f>MIN(order_quantity,demand)</f>
        <v>2000</v>
      </c>
    </row>
    <row r="32" spans="1:5" x14ac:dyDescent="0.3">
      <c r="A32" t="s">
        <v>9</v>
      </c>
      <c r="B32">
        <f>IF(order_quantity&gt;demand,order_quantity-demand,0)</f>
        <v>500</v>
      </c>
    </row>
    <row r="33" spans="1:10" x14ac:dyDescent="0.3">
      <c r="A33" t="s">
        <v>10</v>
      </c>
      <c r="B33" s="1">
        <f>unit_sold_at_a_regular_price*regular_price+unit_sold_at_a_leftover_price*leftover_price</f>
        <v>65000</v>
      </c>
    </row>
    <row r="34" spans="1:10" x14ac:dyDescent="0.3">
      <c r="A34" t="s">
        <v>11</v>
      </c>
      <c r="B34" s="1">
        <f>VLOOKUP(order_quantity,lookupcost,2)*order_quantity</f>
        <v>55625</v>
      </c>
    </row>
    <row r="35" spans="1:10" x14ac:dyDescent="0.3">
      <c r="A35" t="s">
        <v>12</v>
      </c>
      <c r="B35" s="8">
        <f>revenue-cost</f>
        <v>9375</v>
      </c>
    </row>
    <row r="37" spans="1:10" x14ac:dyDescent="0.3">
      <c r="A37" s="2" t="s">
        <v>24</v>
      </c>
    </row>
    <row r="38" spans="1:10" x14ac:dyDescent="0.3">
      <c r="A38">
        <f>profit</f>
        <v>9375</v>
      </c>
      <c r="B38">
        <v>500</v>
      </c>
      <c r="C38">
        <v>1000</v>
      </c>
      <c r="D38">
        <v>1500</v>
      </c>
      <c r="E38">
        <v>2000</v>
      </c>
      <c r="F38">
        <v>2500</v>
      </c>
      <c r="G38">
        <v>3000</v>
      </c>
      <c r="H38">
        <v>3500</v>
      </c>
      <c r="I38">
        <v>4000</v>
      </c>
      <c r="J38">
        <v>4500</v>
      </c>
    </row>
    <row r="39" spans="1:10" x14ac:dyDescent="0.3">
      <c r="A39">
        <v>500</v>
      </c>
      <c r="B39">
        <f t="dataTable" ref="B39:J47" dt2D="1" dtr="1" r1="B28" r2="B25"/>
        <v>3000</v>
      </c>
      <c r="C39">
        <v>3000</v>
      </c>
      <c r="D39">
        <v>3000</v>
      </c>
      <c r="E39">
        <v>3000</v>
      </c>
      <c r="F39">
        <v>3000</v>
      </c>
      <c r="G39">
        <v>3000</v>
      </c>
      <c r="H39">
        <v>3000</v>
      </c>
      <c r="I39">
        <v>3000</v>
      </c>
      <c r="J39">
        <v>3000</v>
      </c>
    </row>
    <row r="40" spans="1:10" x14ac:dyDescent="0.3">
      <c r="A40">
        <v>1000</v>
      </c>
      <c r="B40">
        <v>-3000</v>
      </c>
      <c r="C40">
        <v>7000</v>
      </c>
      <c r="D40">
        <v>7000</v>
      </c>
      <c r="E40">
        <v>7000</v>
      </c>
      <c r="F40">
        <v>7000</v>
      </c>
      <c r="G40">
        <v>7000</v>
      </c>
      <c r="H40">
        <v>7000</v>
      </c>
      <c r="I40">
        <v>7000</v>
      </c>
      <c r="J40">
        <v>7000</v>
      </c>
    </row>
    <row r="41" spans="1:10" x14ac:dyDescent="0.3">
      <c r="A41">
        <v>1500</v>
      </c>
      <c r="B41">
        <v>-9500</v>
      </c>
      <c r="C41">
        <v>500</v>
      </c>
      <c r="D41">
        <v>10500</v>
      </c>
      <c r="E41">
        <v>10500</v>
      </c>
      <c r="F41">
        <v>10500</v>
      </c>
      <c r="G41">
        <v>10500</v>
      </c>
      <c r="H41">
        <v>10500</v>
      </c>
      <c r="I41">
        <v>10500</v>
      </c>
      <c r="J41">
        <v>10500</v>
      </c>
    </row>
    <row r="42" spans="1:10" x14ac:dyDescent="0.3">
      <c r="A42">
        <v>2000</v>
      </c>
      <c r="B42">
        <v>-14500</v>
      </c>
      <c r="C42">
        <v>-4500</v>
      </c>
      <c r="D42">
        <v>5500</v>
      </c>
      <c r="E42">
        <v>15500</v>
      </c>
      <c r="F42">
        <v>15500</v>
      </c>
      <c r="G42">
        <v>15500</v>
      </c>
      <c r="H42">
        <v>15500</v>
      </c>
      <c r="I42">
        <v>15500</v>
      </c>
      <c r="J42">
        <v>15500</v>
      </c>
    </row>
    <row r="43" spans="1:10" x14ac:dyDescent="0.3">
      <c r="A43">
        <v>2500</v>
      </c>
      <c r="B43">
        <v>-20625</v>
      </c>
      <c r="C43">
        <v>-10625</v>
      </c>
      <c r="D43">
        <v>-625</v>
      </c>
      <c r="E43">
        <v>9375</v>
      </c>
      <c r="F43">
        <v>19375</v>
      </c>
      <c r="G43">
        <v>19375</v>
      </c>
      <c r="H43">
        <v>19375</v>
      </c>
      <c r="I43">
        <v>19375</v>
      </c>
      <c r="J43">
        <v>19375</v>
      </c>
    </row>
    <row r="44" spans="1:10" x14ac:dyDescent="0.3">
      <c r="A44">
        <v>3000</v>
      </c>
      <c r="B44">
        <v>-25250</v>
      </c>
      <c r="C44">
        <v>-15250</v>
      </c>
      <c r="D44">
        <v>-5250</v>
      </c>
      <c r="E44">
        <v>4750</v>
      </c>
      <c r="F44">
        <v>14750</v>
      </c>
      <c r="G44">
        <v>24750</v>
      </c>
      <c r="H44">
        <v>24750</v>
      </c>
      <c r="I44">
        <v>24750</v>
      </c>
      <c r="J44">
        <v>24750</v>
      </c>
    </row>
    <row r="45" spans="1:10" x14ac:dyDescent="0.3">
      <c r="A45">
        <v>3500</v>
      </c>
      <c r="B45">
        <v>-31125</v>
      </c>
      <c r="C45">
        <v>-21125</v>
      </c>
      <c r="D45">
        <v>-11125</v>
      </c>
      <c r="E45">
        <v>-1125</v>
      </c>
      <c r="F45">
        <v>8875</v>
      </c>
      <c r="G45">
        <v>18875</v>
      </c>
      <c r="H45">
        <v>28875</v>
      </c>
      <c r="I45">
        <v>28875</v>
      </c>
      <c r="J45">
        <v>28875</v>
      </c>
    </row>
    <row r="46" spans="1:10" x14ac:dyDescent="0.3">
      <c r="A46">
        <v>4000</v>
      </c>
      <c r="B46">
        <v>-35200</v>
      </c>
      <c r="C46">
        <v>-25200</v>
      </c>
      <c r="D46">
        <v>-15200</v>
      </c>
      <c r="E46">
        <v>-5200</v>
      </c>
      <c r="F46">
        <v>4800</v>
      </c>
      <c r="G46">
        <v>14800</v>
      </c>
      <c r="H46">
        <v>24800</v>
      </c>
      <c r="I46">
        <v>34800</v>
      </c>
      <c r="J46">
        <v>34800</v>
      </c>
    </row>
    <row r="47" spans="1:10" x14ac:dyDescent="0.3">
      <c r="A47">
        <v>4500</v>
      </c>
      <c r="B47">
        <v>-40850</v>
      </c>
      <c r="C47">
        <v>-30850</v>
      </c>
      <c r="D47">
        <v>-20850</v>
      </c>
      <c r="E47">
        <v>-10850</v>
      </c>
      <c r="F47">
        <v>-850</v>
      </c>
      <c r="G47">
        <v>9150</v>
      </c>
      <c r="H47">
        <v>19150</v>
      </c>
      <c r="I47">
        <v>29150</v>
      </c>
      <c r="J47">
        <v>39150</v>
      </c>
    </row>
    <row r="49" spans="1:10" x14ac:dyDescent="0.3">
      <c r="A49" s="2" t="s">
        <v>18</v>
      </c>
    </row>
    <row r="50" spans="1:10" x14ac:dyDescent="0.3">
      <c r="A50" t="s">
        <v>19</v>
      </c>
      <c r="B50">
        <v>500</v>
      </c>
      <c r="C50">
        <v>1000</v>
      </c>
      <c r="D50">
        <v>1500</v>
      </c>
      <c r="E50">
        <v>2000</v>
      </c>
      <c r="F50">
        <v>2500</v>
      </c>
      <c r="G50">
        <v>3000</v>
      </c>
      <c r="H50">
        <v>3500</v>
      </c>
      <c r="I50">
        <v>4000</v>
      </c>
      <c r="J50">
        <v>4500</v>
      </c>
    </row>
    <row r="51" spans="1:10" x14ac:dyDescent="0.3">
      <c r="A51" t="s">
        <v>20</v>
      </c>
      <c r="B51">
        <v>2.5000000000000001E-2</v>
      </c>
      <c r="C51">
        <v>0.05</v>
      </c>
      <c r="D51">
        <v>0.15</v>
      </c>
      <c r="E51">
        <v>0.25</v>
      </c>
      <c r="F51">
        <v>0.25</v>
      </c>
      <c r="G51">
        <v>0.15</v>
      </c>
      <c r="H51">
        <v>7.0000000000000007E-2</v>
      </c>
      <c r="I51">
        <v>0.04</v>
      </c>
      <c r="J51">
        <v>1.4999999999999999E-2</v>
      </c>
    </row>
    <row r="53" spans="1:10" x14ac:dyDescent="0.3">
      <c r="A53" t="s">
        <v>21</v>
      </c>
      <c r="B53" t="s">
        <v>22</v>
      </c>
    </row>
    <row r="54" spans="1:10" x14ac:dyDescent="0.3">
      <c r="A54">
        <v>500</v>
      </c>
      <c r="B54" cm="1">
        <f t="array" ref="B54">SUMPRODUCT(B39:J39*Probabilities)</f>
        <v>3000</v>
      </c>
    </row>
    <row r="55" spans="1:10" x14ac:dyDescent="0.3">
      <c r="A55">
        <v>1000</v>
      </c>
      <c r="B55" cm="1">
        <f t="array" ref="B55">SUMPRODUCT(B40:J40*Probabilities)</f>
        <v>6750</v>
      </c>
    </row>
    <row r="56" spans="1:10" x14ac:dyDescent="0.3">
      <c r="A56">
        <v>1500</v>
      </c>
      <c r="B56">
        <f>SUMPRODUCT(B41:J41,Probabilities)</f>
        <v>9500</v>
      </c>
    </row>
    <row r="57" spans="1:10" x14ac:dyDescent="0.3">
      <c r="A57">
        <v>2000</v>
      </c>
      <c r="B57">
        <f>SUMPRODUCT(B42:J42,Probabilities)</f>
        <v>12250</v>
      </c>
    </row>
    <row r="58" spans="1:10" x14ac:dyDescent="0.3">
      <c r="A58">
        <v>2500</v>
      </c>
      <c r="B58">
        <f>SUMPRODUCT(B43:J43,Probabilities)</f>
        <v>11375</v>
      </c>
    </row>
    <row r="59" spans="1:10" x14ac:dyDescent="0.3">
      <c r="A59">
        <v>3000</v>
      </c>
      <c r="B59">
        <f>SUMPRODUCT(B44:J44,Probabilities)</f>
        <v>9500</v>
      </c>
    </row>
    <row r="60" spans="1:10" x14ac:dyDescent="0.3">
      <c r="A60">
        <v>3500</v>
      </c>
      <c r="B60">
        <f>SUMPRODUCT(B45:J45,Probabilities)</f>
        <v>4875</v>
      </c>
    </row>
    <row r="61" spans="1:10" x14ac:dyDescent="0.3">
      <c r="A61">
        <v>4000</v>
      </c>
      <c r="B61">
        <f>SUMPRODUCT(B46:J46,Probabilities)</f>
        <v>1350.0000000000002</v>
      </c>
    </row>
    <row r="62" spans="1:10" x14ac:dyDescent="0.3">
      <c r="A62">
        <v>4500</v>
      </c>
      <c r="B62">
        <f>SUMPRODUCT(B47:J47,Probabilities)</f>
        <v>-4150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12</vt:i4>
      </vt:variant>
    </vt:vector>
  </HeadingPairs>
  <TitlesOfParts>
    <vt:vector size="13" baseType="lpstr">
      <vt:lpstr>Sheet1</vt:lpstr>
      <vt:lpstr>cost</vt:lpstr>
      <vt:lpstr>demand</vt:lpstr>
      <vt:lpstr>leftover_price</vt:lpstr>
      <vt:lpstr>lookupcost</vt:lpstr>
      <vt:lpstr>Sheet1!order_quantity</vt:lpstr>
      <vt:lpstr>Probabilities</vt:lpstr>
      <vt:lpstr>probality</vt:lpstr>
      <vt:lpstr>profit</vt:lpstr>
      <vt:lpstr>regular_price</vt:lpstr>
      <vt:lpstr>revenue</vt:lpstr>
      <vt:lpstr>unit_sold_at_a_leftover_price</vt:lpstr>
      <vt:lpstr>unit_sold_at_a_regular_price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Gurbaj Singh</dc:creator>
  <cp:lastModifiedBy>Gurbaj Singh</cp:lastModifiedBy>
  <dcterms:created xsi:type="dcterms:W3CDTF">2026-08-04T03:24:40Z</dcterms:created>
  <dcterms:modified xsi:type="dcterms:W3CDTF">2026-08-04T22:07:42Z</dcterms:modified>
</cp:coreProperties>
</file>