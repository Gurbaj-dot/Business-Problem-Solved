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urba\Downloads\"/>
    </mc:Choice>
  </mc:AlternateContent>
  <xr:revisionPtr revIDLastSave="0" documentId="13_ncr:1_{8B826AC2-53CC-4052-B2E8-180537F07366}" xr6:coauthVersionLast="47" xr6:coauthVersionMax="47" xr10:uidLastSave="{00000000-0000-0000-0000-000000000000}"/>
  <bookViews>
    <workbookView xWindow="8100" yWindow="0" windowWidth="11460" windowHeight="11940" xr2:uid="{8BB775B3-2F0A-4FFB-96BF-E9E0829E886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44" i="1" l="1"/>
  <c r="F45" i="1" s="1"/>
  <c r="F46" i="1" s="1"/>
  <c r="F47" i="1" s="1"/>
  <c r="C44" i="1"/>
  <c r="C45" i="1" s="1"/>
  <c r="B45" i="1"/>
  <c r="B46" i="1" s="1"/>
  <c r="B44" i="1"/>
  <c r="D44" i="1" l="1"/>
  <c r="B47" i="1"/>
  <c r="D47" i="1" s="1"/>
  <c r="D46" i="1"/>
  <c r="C46" i="1"/>
  <c r="E45" i="1"/>
  <c r="E44" i="1"/>
  <c r="D45" i="1"/>
  <c r="C47" i="1" l="1"/>
  <c r="E47" i="1" s="1"/>
  <c r="E46" i="1"/>
</calcChain>
</file>

<file path=xl/sharedStrings.xml><?xml version="1.0" encoding="utf-8"?>
<sst xmlns="http://schemas.openxmlformats.org/spreadsheetml/2006/main" count="25" uniqueCount="20">
  <si>
    <t xml:space="preserve">INPUTS </t>
  </si>
  <si>
    <t xml:space="preserve">requirents per bookself </t>
  </si>
  <si>
    <t xml:space="preserve">board-feet required </t>
  </si>
  <si>
    <t xml:space="preserve">lobor hours required </t>
  </si>
  <si>
    <t xml:space="preserve">costs of wood </t>
  </si>
  <si>
    <t>current cost per board-foot</t>
  </si>
  <si>
    <t xml:space="preserve">projected annnual increased </t>
  </si>
  <si>
    <t xml:space="preserve">cost of labor </t>
  </si>
  <si>
    <t>current cost per labor hour</t>
  </si>
  <si>
    <t>projected annual increase</t>
  </si>
  <si>
    <t>cherry</t>
  </si>
  <si>
    <t>oak</t>
  </si>
  <si>
    <t xml:space="preserve">projected costs </t>
  </si>
  <si>
    <t>cost per bookself</t>
  </si>
  <si>
    <t xml:space="preserve">cherry </t>
  </si>
  <si>
    <t>cost per board-foot</t>
  </si>
  <si>
    <t>labor</t>
  </si>
  <si>
    <t>years from now</t>
  </si>
  <si>
    <t xml:space="preserve">PROJECTING  BOOKSELF COSTS AT WOODWORKS </t>
  </si>
  <si>
    <t xml:space="preserve"> cost per hour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</si>
</sst>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&quot;$&quot;#,##0_);[Red]\(&quot;$&quot;#,##0\)"/>
    <numFmt numFmtId="8" formatCode="&quot;$&quot;#,##0.00_);[Red]\(&quot;$&quot;#,##0.00\)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0">
    <xf numFmtId="0" fontId="0" fillId="0" borderId="0" xfId="0"/>
    <xf numFmtId="8" fontId="0" fillId="0" borderId="0" xfId="0" applyNumberFormat="1"/>
    <xf numFmtId="8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10" fontId="0" fillId="0" borderId="0" xfId="0" applyNumberFormat="1" applyAlignment="1">
      <alignment horizontal="left"/>
    </xf>
    <xf numFmtId="6" fontId="0" fillId="0" borderId="0" xfId="0" applyNumberFormat="1"/>
    <xf numFmtId="10" fontId="0" fillId="0" borderId="0" xfId="1" applyNumberFormat="1" applyFont="1" applyAlignment="1">
      <alignment horizontal="left"/>
    </xf>
    <xf numFmtId="10" fontId="0" fillId="0" borderId="0" xfId="0" applyNumberFormat="1" applyAlignment="1">
      <alignment horizontal="left" vertical="top"/>
    </xf>
    <xf numFmtId="0" fontId="0" fillId="0" borderId="0" xfId="0" applyAlignment="1">
      <alignment horizontal="center"/>
    </xf>
    <xf numFmtId="0" fontId="2" fillId="0" borderId="0" xfId="0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Projecting</a:t>
            </a:r>
            <a:r>
              <a:rPr lang="en-US" baseline="0"/>
              <a:t> bookself cost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Sheet1!$D$42</c:f>
              <c:strCache>
                <c:ptCount val="1"/>
                <c:pt idx="0">
                  <c:v>cherry 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Sheet1!$A$43:$A$47</c:f>
              <c:numCache>
                <c:formatCode>General</c:formatCode>
                <c:ptCount val="5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</c:numCache>
            </c:numRef>
          </c:cat>
          <c:val>
            <c:numRef>
              <c:f>Sheet1!$D$43:$D$47</c:f>
              <c:numCache>
                <c:formatCode>"$"#,##0.00_);[Red]\("$"#,##0.00\)</c:formatCode>
                <c:ptCount val="5"/>
                <c:pt idx="0" formatCode="&quot;$&quot;#,##0_);[Red]\(&quot;$&quot;#,##0\)">
                  <c:v>461</c:v>
                </c:pt>
                <c:pt idx="1">
                  <c:v>469.4</c:v>
                </c:pt>
                <c:pt idx="2">
                  <c:v>477.90019999999998</c:v>
                </c:pt>
                <c:pt idx="3" formatCode="&quot;$&quot;#,##0_);[Red]\(&quot;$&quot;#,##0\)">
                  <c:v>486.62528539999994</c:v>
                </c:pt>
                <c:pt idx="4">
                  <c:v>495.51860505859992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63A-462C-9852-76B746882D1A}"/>
            </c:ext>
          </c:extLst>
        </c:ser>
        <c:ser>
          <c:idx val="1"/>
          <c:order val="1"/>
          <c:tx>
            <c:strRef>
              <c:f>Sheet1!$E$42</c:f>
              <c:strCache>
                <c:ptCount val="1"/>
                <c:pt idx="0">
                  <c:v>oak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Sheet1!$A$43:$A$47</c:f>
              <c:numCache>
                <c:formatCode>General</c:formatCode>
                <c:ptCount val="5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</c:numCache>
            </c:numRef>
          </c:cat>
          <c:val>
            <c:numRef>
              <c:f>Sheet1!$E$43:$E$47</c:f>
              <c:numCache>
                <c:formatCode>"$"#,##0.00_);[Red]\("$"#,##0.00\)</c:formatCode>
                <c:ptCount val="5"/>
                <c:pt idx="0" formatCode="&quot;$&quot;#,##0_);[Red]\(&quot;$&quot;#,##0\)">
                  <c:v>425</c:v>
                </c:pt>
                <c:pt idx="1">
                  <c:v>431.63299999999998</c:v>
                </c:pt>
                <c:pt idx="2">
                  <c:v>438.36988099999996</c:v>
                </c:pt>
                <c:pt idx="3">
                  <c:v>445.21227577699995</c:v>
                </c:pt>
                <c:pt idx="4">
                  <c:v>452.16184286720886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63A-462C-9852-76B746882D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94244383"/>
        <c:axId val="457673775"/>
      </c:lineChart>
      <c:catAx>
        <c:axId val="59424438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years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7673775"/>
        <c:crosses val="autoZero"/>
        <c:auto val="1"/>
        <c:lblAlgn val="ctr"/>
        <c:lblOffset val="100"/>
        <c:noMultiLvlLbl val="0"/>
      </c:catAx>
      <c:valAx>
        <c:axId val="4576737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price in dollar of woods 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&quot;$&quot;#,##0_);[Red]\(&quot;$&quot;#,##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42443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521970</xdr:colOff>
      <xdr:row>25</xdr:row>
      <xdr:rowOff>68580</xdr:rowOff>
    </xdr:from>
    <xdr:to>
      <xdr:col>8</xdr:col>
      <xdr:colOff>57150</xdr:colOff>
      <xdr:row>38</xdr:row>
      <xdr:rowOff>68580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1A519E7-4D6C-59F2-7263-28202129B37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60960</xdr:colOff>
      <xdr:row>0</xdr:row>
      <xdr:rowOff>144780</xdr:rowOff>
    </xdr:from>
    <xdr:to>
      <xdr:col>10</xdr:col>
      <xdr:colOff>259080</xdr:colOff>
      <xdr:row>7</xdr:row>
      <xdr:rowOff>83820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F1FDB5AC-6DEF-ED11-F265-95AF6CBD21BA}"/>
            </a:ext>
          </a:extLst>
        </xdr:cNvPr>
        <xdr:cNvSpPr txBox="1"/>
      </xdr:nvSpPr>
      <xdr:spPr>
        <a:xfrm>
          <a:off x="60960" y="144780"/>
          <a:ext cx="11498580" cy="12192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PROJECTING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COST</a:t>
          </a:r>
          <a:endParaRPr lang="en-US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QUESTION</a:t>
          </a:r>
          <a:b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The Woodworks Company produces a variety of custom-designed wood furniture for its customers. One favorite item is a bookshelf, made from either cherry or oak. The company knows that wood prices and labor costs are likely to increase in the future. Table 1.1 shows the number of board-feet and labor hours required for a bookshelf, the current costs per board-foot and labor hour, and the anticipated annual increases in these costs. (The top row indicates that either type of bookshelf requires 30 board-feet of wood and 16 hours of labor.) Build a spreadsheet model that enables the company to experiment with the growth rates in wood and labor costs so that a manager can see, both numerically and graphically, how the costs of the bookshelves increase in the next few years.</a:t>
          </a:r>
          <a:endParaRPr lang="en-US" sz="1100"/>
        </a:p>
      </xdr:txBody>
    </xdr:sp>
    <xdr:clientData/>
  </xdr:twoCellAnchor>
  <xdr:twoCellAnchor>
    <xdr:from>
      <xdr:col>0</xdr:col>
      <xdr:colOff>236220</xdr:colOff>
      <xdr:row>8</xdr:row>
      <xdr:rowOff>45720</xdr:rowOff>
    </xdr:from>
    <xdr:to>
      <xdr:col>12</xdr:col>
      <xdr:colOff>525780</xdr:colOff>
      <xdr:row>22</xdr:row>
      <xdr:rowOff>167640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78ADD875-BFB3-3F33-E117-BE9EB816E24D}"/>
            </a:ext>
          </a:extLst>
        </xdr:cNvPr>
        <xdr:cNvSpPr txBox="1"/>
      </xdr:nvSpPr>
      <xdr:spPr>
        <a:xfrm>
          <a:off x="236220" y="1508760"/>
          <a:ext cx="12809220" cy="268224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ANSWER</a:t>
          </a:r>
          <a:r>
            <a:rPr lang="en-US" sz="1100" baseline="0"/>
            <a:t> </a:t>
          </a:r>
        </a:p>
        <a:p>
          <a:r>
            <a:rPr lang="en-US" sz="1100" baseline="0"/>
            <a:t>1. ENTER THE OUTPUT </a:t>
          </a:r>
        </a:p>
        <a:p>
          <a:r>
            <a:rPr lang="en-US" sz="1100" baseline="0"/>
            <a:t>2. DESIGN OUTPUT TABLE </a:t>
          </a:r>
        </a:p>
        <a:p>
          <a:r>
            <a:rPr lang="en-US" sz="1100" baseline="0"/>
            <a:t>3. PROJECTED UNITS COSTS OF WOODS</a:t>
          </a:r>
        </a:p>
        <a:p>
          <a:r>
            <a:rPr lang="en-US" sz="1100" baseline="0"/>
            <a:t>4. Projected unit labor costs</a:t>
          </a:r>
        </a:p>
        <a:p>
          <a:r>
            <a:rPr lang="en-US" sz="1100" baseline="0"/>
            <a:t>5. Projected bookshelf costs</a:t>
          </a:r>
        </a:p>
        <a:p>
          <a:r>
            <a:rPr lang="en-US" sz="1100" baseline="0"/>
            <a:t>6. CHART</a:t>
          </a:r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013B08-999F-4097-B2B0-E0ECF9FD6286}">
  <dimension ref="A25:F47"/>
  <sheetViews>
    <sheetView tabSelected="1" workbookViewId="0">
      <selection activeCell="G42" sqref="G42"/>
    </sheetView>
  </sheetViews>
  <sheetFormatPr defaultRowHeight="14.4" x14ac:dyDescent="0.3"/>
  <cols>
    <col min="1" max="1" width="38.77734375" bestFit="1" customWidth="1"/>
    <col min="2" max="2" width="22.5546875" customWidth="1"/>
    <col min="3" max="3" width="12.21875" bestFit="1" customWidth="1"/>
    <col min="4" max="4" width="15.109375" bestFit="1" customWidth="1"/>
    <col min="5" max="5" width="21.5546875" customWidth="1"/>
    <col min="6" max="6" width="19" customWidth="1"/>
  </cols>
  <sheetData>
    <row r="25" spans="1:3" x14ac:dyDescent="0.3">
      <c r="A25" t="s">
        <v>18</v>
      </c>
    </row>
    <row r="27" spans="1:3" x14ac:dyDescent="0.3">
      <c r="A27" t="s">
        <v>0</v>
      </c>
    </row>
    <row r="28" spans="1:3" x14ac:dyDescent="0.3">
      <c r="A28" t="s">
        <v>1</v>
      </c>
      <c r="B28" s="3" t="s">
        <v>10</v>
      </c>
      <c r="C28" s="3" t="s">
        <v>11</v>
      </c>
    </row>
    <row r="29" spans="1:3" x14ac:dyDescent="0.3">
      <c r="A29" t="s">
        <v>2</v>
      </c>
      <c r="B29" s="3">
        <v>30</v>
      </c>
      <c r="C29" s="3">
        <v>30</v>
      </c>
    </row>
    <row r="30" spans="1:3" x14ac:dyDescent="0.3">
      <c r="A30" t="s">
        <v>3</v>
      </c>
      <c r="B30" s="3">
        <v>16</v>
      </c>
      <c r="C30" s="3">
        <v>16</v>
      </c>
    </row>
    <row r="31" spans="1:3" x14ac:dyDescent="0.3">
      <c r="B31" s="3"/>
      <c r="C31" s="3"/>
    </row>
    <row r="32" spans="1:3" x14ac:dyDescent="0.3">
      <c r="A32" t="s">
        <v>4</v>
      </c>
      <c r="B32" s="3" t="s">
        <v>10</v>
      </c>
      <c r="C32" s="3" t="s">
        <v>11</v>
      </c>
    </row>
    <row r="33" spans="1:6" x14ac:dyDescent="0.3">
      <c r="A33" t="s">
        <v>5</v>
      </c>
      <c r="B33" s="2">
        <v>5.5</v>
      </c>
      <c r="C33" s="2">
        <v>4.3</v>
      </c>
    </row>
    <row r="34" spans="1:6" x14ac:dyDescent="0.3">
      <c r="A34" t="s">
        <v>6</v>
      </c>
      <c r="B34" s="6">
        <v>2.4E-2</v>
      </c>
      <c r="C34" s="4">
        <v>1.7000000000000001E-2</v>
      </c>
    </row>
    <row r="35" spans="1:6" x14ac:dyDescent="0.3">
      <c r="B35" s="3"/>
      <c r="C35" s="3"/>
    </row>
    <row r="36" spans="1:6" x14ac:dyDescent="0.3">
      <c r="A36" t="s">
        <v>7</v>
      </c>
    </row>
    <row r="37" spans="1:6" x14ac:dyDescent="0.3">
      <c r="A37" t="s">
        <v>8</v>
      </c>
      <c r="B37" s="2">
        <v>18.5</v>
      </c>
    </row>
    <row r="38" spans="1:6" x14ac:dyDescent="0.3">
      <c r="A38" t="s">
        <v>9</v>
      </c>
      <c r="B38" s="7">
        <v>1.4999999999999999E-2</v>
      </c>
    </row>
    <row r="40" spans="1:6" ht="23.4" x14ac:dyDescent="0.45">
      <c r="A40" s="9" t="s">
        <v>12</v>
      </c>
    </row>
    <row r="41" spans="1:6" x14ac:dyDescent="0.3">
      <c r="B41" s="8" t="s">
        <v>15</v>
      </c>
      <c r="C41" s="8"/>
      <c r="D41" s="8" t="s">
        <v>13</v>
      </c>
      <c r="E41" s="8"/>
      <c r="F41" t="s">
        <v>19</v>
      </c>
    </row>
    <row r="42" spans="1:6" x14ac:dyDescent="0.3">
      <c r="A42" t="s">
        <v>17</v>
      </c>
      <c r="B42" t="s">
        <v>14</v>
      </c>
      <c r="C42" t="s">
        <v>11</v>
      </c>
      <c r="D42" t="s">
        <v>14</v>
      </c>
      <c r="E42" t="s">
        <v>11</v>
      </c>
      <c r="F42" t="s">
        <v>16</v>
      </c>
    </row>
    <row r="43" spans="1:6" x14ac:dyDescent="0.3">
      <c r="A43">
        <v>0</v>
      </c>
      <c r="B43" s="1">
        <v>5.5</v>
      </c>
      <c r="C43" s="1">
        <v>4.3</v>
      </c>
      <c r="D43" s="5">
        <v>461</v>
      </c>
      <c r="E43" s="5">
        <v>425</v>
      </c>
      <c r="F43" s="1">
        <v>18.5</v>
      </c>
    </row>
    <row r="44" spans="1:6" x14ac:dyDescent="0.3">
      <c r="A44">
        <v>1</v>
      </c>
      <c r="B44" s="1">
        <f>B33*(1+B34)^1</f>
        <v>5.6319999999999997</v>
      </c>
      <c r="C44" s="1">
        <f>C33*(1+C34)</f>
        <v>4.3730999999999991</v>
      </c>
      <c r="D44" s="1">
        <f>B29*B44+F44*B30</f>
        <v>469.4</v>
      </c>
      <c r="E44" s="1">
        <f>C44*C29+F44*C30</f>
        <v>431.63299999999998</v>
      </c>
      <c r="F44" s="1">
        <f>F43*(1+B38)</f>
        <v>18.7775</v>
      </c>
    </row>
    <row r="45" spans="1:6" x14ac:dyDescent="0.3">
      <c r="A45">
        <v>2</v>
      </c>
      <c r="B45" s="1">
        <f>5.63*1.024</f>
        <v>5.7651199999999996</v>
      </c>
      <c r="C45" s="1">
        <f>C44*(1+C34)</f>
        <v>4.447442699999999</v>
      </c>
      <c r="D45" s="1">
        <f>B45*B29+F45*B30</f>
        <v>477.90019999999998</v>
      </c>
      <c r="E45" s="1">
        <f>C45*C29+F45*C30</f>
        <v>438.36988099999996</v>
      </c>
      <c r="F45" s="1">
        <f>F44*(1+B38)</f>
        <v>19.059162499999999</v>
      </c>
    </row>
    <row r="46" spans="1:6" x14ac:dyDescent="0.3">
      <c r="A46">
        <v>3</v>
      </c>
      <c r="B46" s="1">
        <f>B45*(1.024)</f>
        <v>5.9034828799999994</v>
      </c>
      <c r="C46" s="1">
        <f>C45*(1+C34)</f>
        <v>4.5230492258999986</v>
      </c>
      <c r="D46" s="5">
        <f>B29*B46+F46*B30</f>
        <v>486.62528539999994</v>
      </c>
      <c r="E46" s="1">
        <f>C46*C29+C30*F46</f>
        <v>445.21227577699995</v>
      </c>
      <c r="F46" s="1">
        <f>F45*(1+B38)</f>
        <v>19.345049937499997</v>
      </c>
    </row>
    <row r="47" spans="1:6" x14ac:dyDescent="0.3">
      <c r="A47">
        <v>4</v>
      </c>
      <c r="B47" s="1">
        <f>B46*(1.024)</f>
        <v>6.0451664691199998</v>
      </c>
      <c r="C47" s="1">
        <f>C46*(1+C34)</f>
        <v>4.5999410627402977</v>
      </c>
      <c r="D47" s="1">
        <f>B47*B29+F47*B30</f>
        <v>495.51860505859992</v>
      </c>
      <c r="E47" s="1">
        <f>C29*C47+C30*F47</f>
        <v>452.16184286720886</v>
      </c>
      <c r="F47" s="1">
        <f>F46*(1+B38)</f>
        <v>19.635225686562496</v>
      </c>
    </row>
  </sheetData>
  <mergeCells count="2">
    <mergeCell ref="B41:C41"/>
    <mergeCell ref="D41:E4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Gurbaj Singh</dc:creator>
  <cp:lastModifiedBy>Gurbaj Singh</cp:lastModifiedBy>
  <dcterms:created xsi:type="dcterms:W3CDTF">2026-07-31T20:22:43Z</dcterms:created>
  <dcterms:modified xsi:type="dcterms:W3CDTF">2026-08-01T18:55:44Z</dcterms:modified>
</cp:coreProperties>
</file>